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Лист1" sheetId="1" r:id="rId1"/>
    <sheet name="Лист2" sheetId="2" r:id="rId2"/>
    <sheet name="Лист3" sheetId="3" r:id="rId3"/>
    <sheet name="Лист4" sheetId="4" r:id="rId4"/>
  </sheets>
  <calcPr calcId="144525"/>
</workbook>
</file>

<file path=xl/calcChain.xml><?xml version="1.0" encoding="utf-8"?>
<calcChain xmlns="http://schemas.openxmlformats.org/spreadsheetml/2006/main">
  <c r="P22" i="4" l="1"/>
  <c r="O22" i="4"/>
  <c r="P21" i="4"/>
  <c r="O21" i="4"/>
  <c r="P20" i="4"/>
  <c r="O20" i="4"/>
  <c r="P19" i="4"/>
  <c r="O19" i="4"/>
  <c r="P18" i="4"/>
  <c r="O18" i="4"/>
  <c r="P17" i="4"/>
  <c r="O17" i="4"/>
  <c r="P16" i="4"/>
  <c r="O16" i="4"/>
  <c r="P15" i="4"/>
  <c r="O15" i="4"/>
  <c r="P14" i="4"/>
  <c r="O14" i="4"/>
  <c r="P13" i="4"/>
  <c r="O13" i="4"/>
  <c r="P12" i="4"/>
  <c r="O12" i="4"/>
  <c r="G2" i="1"/>
  <c r="F3" i="1"/>
  <c r="F4" i="1"/>
  <c r="F5" i="1"/>
  <c r="F6" i="1"/>
  <c r="F7" i="1"/>
  <c r="F8" i="1"/>
  <c r="F9" i="1"/>
  <c r="F10" i="1"/>
  <c r="F11" i="1"/>
  <c r="F12" i="1"/>
  <c r="F2" i="1"/>
  <c r="G12" i="1"/>
  <c r="G11" i="1"/>
  <c r="G10" i="1"/>
  <c r="G9" i="1"/>
  <c r="G8" i="1"/>
  <c r="G7" i="1"/>
  <c r="G6" i="1"/>
  <c r="G5" i="1"/>
  <c r="G4" i="1" l="1"/>
  <c r="G3" i="1"/>
</calcChain>
</file>

<file path=xl/sharedStrings.xml><?xml version="1.0" encoding="utf-8"?>
<sst xmlns="http://schemas.openxmlformats.org/spreadsheetml/2006/main" count="34" uniqueCount="17">
  <si>
    <t xml:space="preserve">Отношение размеров </t>
  </si>
  <si>
    <t>Отношение Энтропий</t>
  </si>
  <si>
    <t>C</t>
  </si>
  <si>
    <t>C#</t>
  </si>
  <si>
    <t>Python</t>
  </si>
  <si>
    <t>Энтропия упакованного файла</t>
  </si>
  <si>
    <t>Энтропия неупакованного файла</t>
  </si>
  <si>
    <t>Размер упакованного файла (KB)</t>
  </si>
  <si>
    <t>Размер неупакованного файла (KB)</t>
  </si>
  <si>
    <t>.jpg</t>
  </si>
  <si>
    <t>.png</t>
  </si>
  <si>
    <t>.mp3</t>
  </si>
  <si>
    <t>.xlsx</t>
  </si>
  <si>
    <t>.ods</t>
  </si>
  <si>
    <t>.docx</t>
  </si>
  <si>
    <t>.txt</t>
  </si>
  <si>
    <t>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</si>
</sst>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₽_-;\-* #,##0.00\ _₽_-;_-* &quot;-&quot;??\ _₽_-;_-@_-"/>
    <numFmt numFmtId="164" formatCode="0.0"/>
    <numFmt numFmtId="165" formatCode="0.00000000"/>
    <numFmt numFmtId="166" formatCode="0.0000"/>
    <numFmt numFmtId="168" formatCode="_-* #,##0.0000\ _₽_-;\-* #,##0.0000\ _₽_-;_-* &quot;-&quot;??\ _₽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3" fontId="0" fillId="0" borderId="1" xfId="1" applyFont="1" applyBorder="1"/>
    <xf numFmtId="43" fontId="0" fillId="0" borderId="0" xfId="1" applyFont="1" applyBorder="1"/>
    <xf numFmtId="43" fontId="0" fillId="0" borderId="4" xfId="1" applyFont="1" applyBorder="1"/>
    <xf numFmtId="168" fontId="0" fillId="0" borderId="2" xfId="1" applyNumberFormat="1" applyFont="1" applyBorder="1"/>
    <xf numFmtId="168" fontId="0" fillId="0" borderId="3" xfId="1" applyNumberFormat="1" applyFont="1" applyBorder="1"/>
    <xf numFmtId="168" fontId="0" fillId="0" borderId="5" xfId="1" applyNumberFormat="1" applyFont="1" applyBorder="1"/>
    <xf numFmtId="43" fontId="2" fillId="0" borderId="0" xfId="1" applyFont="1" applyAlignment="1">
      <alignment wrapText="1"/>
    </xf>
    <xf numFmtId="43" fontId="0" fillId="0" borderId="8" xfId="1" applyFont="1" applyBorder="1"/>
    <xf numFmtId="43" fontId="0" fillId="0" borderId="10" xfId="1" applyFont="1" applyBorder="1"/>
    <xf numFmtId="43" fontId="0" fillId="0" borderId="9" xfId="1" applyFont="1" applyBorder="1"/>
    <xf numFmtId="43" fontId="0" fillId="0" borderId="11" xfId="1" applyFont="1" applyBorder="1"/>
    <xf numFmtId="43" fontId="0" fillId="0" borderId="7" xfId="1" applyFont="1" applyBorder="1"/>
    <xf numFmtId="43" fontId="0" fillId="0" borderId="12" xfId="1" applyFont="1" applyBorder="1"/>
    <xf numFmtId="168" fontId="0" fillId="0" borderId="8" xfId="1" applyNumberFormat="1" applyFont="1" applyBorder="1"/>
    <xf numFmtId="168" fontId="0" fillId="0" borderId="9" xfId="1" applyNumberFormat="1" applyFont="1" applyBorder="1"/>
    <xf numFmtId="168" fontId="0" fillId="0" borderId="7" xfId="1" applyNumberFormat="1" applyFont="1" applyBorder="1"/>
    <xf numFmtId="43" fontId="2" fillId="0" borderId="13" xfId="1" applyFont="1" applyBorder="1"/>
    <xf numFmtId="43" fontId="2" fillId="0" borderId="14" xfId="1" applyFont="1" applyBorder="1"/>
    <xf numFmtId="43" fontId="2" fillId="0" borderId="15" xfId="1" applyFont="1" applyBorder="1"/>
    <xf numFmtId="43" fontId="2" fillId="0" borderId="1" xfId="1" applyFont="1" applyBorder="1" applyAlignment="1">
      <alignment wrapText="1"/>
    </xf>
    <xf numFmtId="43" fontId="2" fillId="0" borderId="2" xfId="1" applyFont="1" applyBorder="1" applyAlignment="1">
      <alignment wrapText="1"/>
    </xf>
    <xf numFmtId="43" fontId="0" fillId="0" borderId="16" xfId="1" applyFont="1" applyBorder="1" applyAlignment="1">
      <alignment wrapText="1"/>
    </xf>
    <xf numFmtId="43" fontId="2" fillId="0" borderId="16" xfId="1" applyFont="1" applyBorder="1"/>
    <xf numFmtId="43" fontId="2" fillId="0" borderId="17" xfId="1" applyFont="1" applyBorder="1"/>
    <xf numFmtId="43" fontId="2" fillId="0" borderId="18" xfId="1" applyFont="1" applyBorder="1"/>
    <xf numFmtId="43" fontId="2" fillId="0" borderId="6" xfId="1" applyFont="1" applyBorder="1" applyAlignment="1">
      <alignment wrapText="1"/>
    </xf>
    <xf numFmtId="43" fontId="2" fillId="0" borderId="19" xfId="1" applyFont="1" applyBorder="1" applyAlignment="1">
      <alignment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N6" sqref="N6"/>
    </sheetView>
  </sheetViews>
  <sheetFormatPr defaultRowHeight="14.4" x14ac:dyDescent="0.3"/>
  <cols>
    <col min="2" max="2" width="16" customWidth="1"/>
    <col min="3" max="3" width="14.77734375" customWidth="1"/>
    <col min="4" max="4" width="16.6640625" customWidth="1"/>
    <col min="5" max="5" width="14.6640625" customWidth="1"/>
    <col min="6" max="6" width="12.21875" customWidth="1"/>
    <col min="7" max="7" width="12.33203125" customWidth="1"/>
  </cols>
  <sheetData>
    <row r="1" spans="1:7" s="4" customFormat="1" ht="43.8" thickBot="1" x14ac:dyDescent="0.35">
      <c r="A1" s="27"/>
      <c r="B1" s="25" t="s">
        <v>8</v>
      </c>
      <c r="C1" s="25" t="s">
        <v>7</v>
      </c>
      <c r="D1" s="31" t="s">
        <v>6</v>
      </c>
      <c r="E1" s="32" t="s">
        <v>5</v>
      </c>
      <c r="F1" s="25" t="s">
        <v>0</v>
      </c>
      <c r="G1" s="26" t="s">
        <v>1</v>
      </c>
    </row>
    <row r="2" spans="1:7" x14ac:dyDescent="0.3">
      <c r="A2" s="28" t="s">
        <v>2</v>
      </c>
      <c r="B2" s="6">
        <v>61.5</v>
      </c>
      <c r="C2" s="18">
        <v>14.5</v>
      </c>
      <c r="D2" s="17">
        <v>3.5655999999999999</v>
      </c>
      <c r="E2" s="18">
        <v>7.3533999999999997</v>
      </c>
      <c r="F2" s="21">
        <f>C2/B2</f>
        <v>0.23577235772357724</v>
      </c>
      <c r="G2" s="9">
        <f>E2/D2</f>
        <v>2.0623177024904646</v>
      </c>
    </row>
    <row r="3" spans="1:7" x14ac:dyDescent="0.3">
      <c r="A3" s="29" t="s">
        <v>3</v>
      </c>
      <c r="B3" s="7">
        <v>148</v>
      </c>
      <c r="C3" s="14">
        <v>61.5</v>
      </c>
      <c r="D3" s="13">
        <v>6.0955000000000004</v>
      </c>
      <c r="E3" s="14">
        <v>7.7839999999999998</v>
      </c>
      <c r="F3" s="19">
        <f t="shared" ref="F3:F12" si="0">C3/B3</f>
        <v>0.41554054054054052</v>
      </c>
      <c r="G3" s="10">
        <f>E3/D3</f>
        <v>1.2770076285784595</v>
      </c>
    </row>
    <row r="4" spans="1:7" ht="15" thickBot="1" x14ac:dyDescent="0.35">
      <c r="A4" s="30" t="s">
        <v>4</v>
      </c>
      <c r="B4" s="8">
        <v>6914</v>
      </c>
      <c r="C4" s="16">
        <v>6771</v>
      </c>
      <c r="D4" s="15">
        <v>4.9077000000000002</v>
      </c>
      <c r="E4" s="16">
        <v>7.9993999999999996</v>
      </c>
      <c r="F4" s="20">
        <f t="shared" si="0"/>
        <v>0.97931732716227948</v>
      </c>
      <c r="G4" s="11">
        <f>E4/D4</f>
        <v>1.6299692320231471</v>
      </c>
    </row>
    <row r="5" spans="1:7" x14ac:dyDescent="0.3">
      <c r="A5" s="28" t="s">
        <v>9</v>
      </c>
      <c r="B5" s="6">
        <v>644</v>
      </c>
      <c r="C5" s="18">
        <v>411</v>
      </c>
      <c r="D5" s="17">
        <v>5.9019000000000004</v>
      </c>
      <c r="E5" s="18">
        <v>5.8170000000000002</v>
      </c>
      <c r="F5" s="21">
        <f t="shared" si="0"/>
        <v>0.63819875776397517</v>
      </c>
      <c r="G5" s="9">
        <f>E5/D5</f>
        <v>0.98561480201291107</v>
      </c>
    </row>
    <row r="6" spans="1:7" ht="15" thickBot="1" x14ac:dyDescent="0.35">
      <c r="A6" s="30" t="s">
        <v>10</v>
      </c>
      <c r="B6" s="8">
        <v>1617</v>
      </c>
      <c r="C6" s="16">
        <v>1384</v>
      </c>
      <c r="D6" s="15">
        <v>5.9019000000000004</v>
      </c>
      <c r="E6" s="16">
        <v>5.8170000000000002</v>
      </c>
      <c r="F6" s="20">
        <f t="shared" si="0"/>
        <v>0.85590599876314166</v>
      </c>
      <c r="G6" s="11">
        <f>E6/D6</f>
        <v>0.98561480201291107</v>
      </c>
    </row>
    <row r="7" spans="1:7" x14ac:dyDescent="0.3">
      <c r="A7" s="28" t="s">
        <v>16</v>
      </c>
      <c r="B7" s="6">
        <v>29973</v>
      </c>
      <c r="C7" s="18">
        <v>29740</v>
      </c>
      <c r="D7" s="17">
        <v>5.9019000000000004</v>
      </c>
      <c r="E7" s="18">
        <v>5.8170000000000002</v>
      </c>
      <c r="F7" s="21">
        <f t="shared" si="0"/>
        <v>0.99222633703666629</v>
      </c>
      <c r="G7" s="9">
        <f>E7/D7</f>
        <v>0.98561480201291107</v>
      </c>
    </row>
    <row r="8" spans="1:7" ht="15" thickBot="1" x14ac:dyDescent="0.35">
      <c r="A8" s="30" t="s">
        <v>11</v>
      </c>
      <c r="B8" s="8">
        <v>9344</v>
      </c>
      <c r="C8" s="16">
        <v>9111</v>
      </c>
      <c r="D8" s="15">
        <v>5.9019000000000004</v>
      </c>
      <c r="E8" s="16">
        <v>5.8170999999999999</v>
      </c>
      <c r="F8" s="20">
        <f t="shared" si="0"/>
        <v>0.97506421232876717</v>
      </c>
      <c r="G8" s="11">
        <f>E8/D8</f>
        <v>0.98563174570900891</v>
      </c>
    </row>
    <row r="9" spans="1:7" x14ac:dyDescent="0.3">
      <c r="A9" s="28" t="s">
        <v>12</v>
      </c>
      <c r="B9" s="6">
        <v>481</v>
      </c>
      <c r="C9" s="18">
        <v>246</v>
      </c>
      <c r="D9" s="17">
        <v>5.9019000000000004</v>
      </c>
      <c r="E9" s="18">
        <v>5.8194999999999997</v>
      </c>
      <c r="F9" s="21">
        <f t="shared" si="0"/>
        <v>0.51143451143451146</v>
      </c>
      <c r="G9" s="9">
        <f>E9/D9</f>
        <v>0.98603839441535768</v>
      </c>
    </row>
    <row r="10" spans="1:7" ht="15" thickBot="1" x14ac:dyDescent="0.35">
      <c r="A10" s="30" t="s">
        <v>13</v>
      </c>
      <c r="B10" s="8">
        <v>490</v>
      </c>
      <c r="C10" s="16">
        <v>255</v>
      </c>
      <c r="D10" s="15">
        <v>5.9019000000000004</v>
      </c>
      <c r="E10" s="16">
        <v>5.8194999999999997</v>
      </c>
      <c r="F10" s="20">
        <f t="shared" si="0"/>
        <v>0.52040816326530615</v>
      </c>
      <c r="G10" s="11">
        <f>E10/D10</f>
        <v>0.98603839441535768</v>
      </c>
    </row>
    <row r="11" spans="1:7" x14ac:dyDescent="0.3">
      <c r="A11" s="28" t="s">
        <v>14</v>
      </c>
      <c r="B11" s="6">
        <v>475.6</v>
      </c>
      <c r="C11" s="18">
        <v>240.6</v>
      </c>
      <c r="D11" s="17">
        <v>5.9019000000000004</v>
      </c>
      <c r="E11" s="18">
        <v>5.8194999999999997</v>
      </c>
      <c r="F11" s="21">
        <f t="shared" si="0"/>
        <v>0.50588730025231288</v>
      </c>
      <c r="G11" s="9">
        <f>E11/D11</f>
        <v>0.98603839441535768</v>
      </c>
    </row>
    <row r="12" spans="1:7" ht="15" thickBot="1" x14ac:dyDescent="0.35">
      <c r="A12" s="30" t="s">
        <v>15</v>
      </c>
      <c r="B12" s="8">
        <v>469.8</v>
      </c>
      <c r="C12" s="16">
        <v>234.8</v>
      </c>
      <c r="D12" s="15">
        <v>5.9019000000000004</v>
      </c>
      <c r="E12" s="16">
        <v>5.8194999999999997</v>
      </c>
      <c r="F12" s="20">
        <f t="shared" si="0"/>
        <v>0.4997871434653044</v>
      </c>
      <c r="G12" s="11">
        <f>E12/D12</f>
        <v>0.98603839441535768</v>
      </c>
    </row>
    <row r="13" spans="1:7" x14ac:dyDescent="0.3">
      <c r="B13" s="1"/>
      <c r="C13" s="1"/>
      <c r="D13" s="3"/>
      <c r="E13" s="3"/>
      <c r="F13" s="2"/>
      <c r="G13" s="2"/>
    </row>
    <row r="14" spans="1:7" x14ac:dyDescent="0.3">
      <c r="B14" s="1"/>
      <c r="C14" s="1"/>
      <c r="D14" s="3"/>
      <c r="E14" s="3"/>
      <c r="F14" s="1"/>
      <c r="G14" s="1"/>
    </row>
    <row r="15" spans="1:7" x14ac:dyDescent="0.3">
      <c r="B15" s="1"/>
      <c r="C15" s="1"/>
      <c r="D15" s="1"/>
      <c r="E15" s="1"/>
      <c r="F15" s="1"/>
      <c r="G15" s="1"/>
    </row>
    <row r="16" spans="1:7" x14ac:dyDescent="0.3">
      <c r="B16" s="1"/>
      <c r="C16" s="1"/>
      <c r="D16" s="1"/>
      <c r="E16" s="1"/>
      <c r="F16" s="1"/>
      <c r="G16" s="1"/>
    </row>
    <row r="17" spans="2:7" x14ac:dyDescent="0.3">
      <c r="B17" s="1"/>
      <c r="C17" s="1"/>
      <c r="D17" s="1"/>
      <c r="E17" s="1"/>
      <c r="F17" s="1"/>
      <c r="G17" s="1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1:P22"/>
  <sheetViews>
    <sheetView workbookViewId="0">
      <selection activeCell="J11" sqref="J11:P22"/>
    </sheetView>
  </sheetViews>
  <sheetFormatPr defaultRowHeight="14.4" x14ac:dyDescent="0.3"/>
  <sheetData>
    <row r="11" spans="10:16" ht="87" thickBot="1" x14ac:dyDescent="0.35">
      <c r="J11" s="5"/>
      <c r="K11" s="12" t="s">
        <v>8</v>
      </c>
      <c r="L11" s="12" t="s">
        <v>7</v>
      </c>
      <c r="M11" s="12" t="s">
        <v>6</v>
      </c>
      <c r="N11" s="12" t="s">
        <v>5</v>
      </c>
      <c r="O11" s="12" t="s">
        <v>0</v>
      </c>
      <c r="P11" s="12" t="s">
        <v>1</v>
      </c>
    </row>
    <row r="12" spans="10:16" x14ac:dyDescent="0.3">
      <c r="J12" s="22" t="s">
        <v>2</v>
      </c>
      <c r="K12" s="17">
        <v>61.5</v>
      </c>
      <c r="L12" s="18">
        <v>14.5</v>
      </c>
      <c r="M12" s="17">
        <v>3.5655999999999999</v>
      </c>
      <c r="N12" s="18">
        <v>7.3533999999999997</v>
      </c>
      <c r="O12" s="21">
        <f>L12/K12</f>
        <v>0.23577235772357724</v>
      </c>
      <c r="P12" s="9">
        <f>N12/M12</f>
        <v>2.0623177024904646</v>
      </c>
    </row>
    <row r="13" spans="10:16" x14ac:dyDescent="0.3">
      <c r="J13" s="23" t="s">
        <v>3</v>
      </c>
      <c r="K13" s="13">
        <v>148</v>
      </c>
      <c r="L13" s="14">
        <v>61.5</v>
      </c>
      <c r="M13" s="13">
        <v>6.0955000000000004</v>
      </c>
      <c r="N13" s="14">
        <v>7.7839999999999998</v>
      </c>
      <c r="O13" s="19">
        <f t="shared" ref="O13:O22" si="0">L13/K13</f>
        <v>0.41554054054054052</v>
      </c>
      <c r="P13" s="10">
        <f>N13/M13</f>
        <v>1.2770076285784595</v>
      </c>
    </row>
    <row r="14" spans="10:16" ht="15" thickBot="1" x14ac:dyDescent="0.35">
      <c r="J14" s="24" t="s">
        <v>4</v>
      </c>
      <c r="K14" s="15">
        <v>6914</v>
      </c>
      <c r="L14" s="16">
        <v>6771</v>
      </c>
      <c r="M14" s="15">
        <v>4.9077000000000002</v>
      </c>
      <c r="N14" s="16">
        <v>7.9993999999999996</v>
      </c>
      <c r="O14" s="20">
        <f t="shared" si="0"/>
        <v>0.97931732716227948</v>
      </c>
      <c r="P14" s="11">
        <f>N14/M14</f>
        <v>1.6299692320231471</v>
      </c>
    </row>
    <row r="15" spans="10:16" x14ac:dyDescent="0.3">
      <c r="J15" s="22" t="s">
        <v>9</v>
      </c>
      <c r="K15" s="17">
        <v>644</v>
      </c>
      <c r="L15" s="18">
        <v>411</v>
      </c>
      <c r="M15" s="17">
        <v>5.9019000000000004</v>
      </c>
      <c r="N15" s="18">
        <v>5.8170000000000002</v>
      </c>
      <c r="O15" s="21">
        <f t="shared" si="0"/>
        <v>0.63819875776397517</v>
      </c>
      <c r="P15" s="9">
        <f>N15/M15</f>
        <v>0.98561480201291107</v>
      </c>
    </row>
    <row r="16" spans="10:16" ht="15" thickBot="1" x14ac:dyDescent="0.35">
      <c r="J16" s="24" t="s">
        <v>10</v>
      </c>
      <c r="K16" s="15">
        <v>1617</v>
      </c>
      <c r="L16" s="16">
        <v>1384</v>
      </c>
      <c r="M16" s="15">
        <v>5.9019000000000004</v>
      </c>
      <c r="N16" s="16">
        <v>5.8170000000000002</v>
      </c>
      <c r="O16" s="20">
        <f t="shared" si="0"/>
        <v>0.85590599876314166</v>
      </c>
      <c r="P16" s="11">
        <f>N16/M16</f>
        <v>0.98561480201291107</v>
      </c>
    </row>
    <row r="17" spans="10:16" x14ac:dyDescent="0.3">
      <c r="J17" s="22" t="s">
        <v>16</v>
      </c>
      <c r="K17" s="17">
        <v>29973</v>
      </c>
      <c r="L17" s="18">
        <v>29740</v>
      </c>
      <c r="M17" s="17">
        <v>5.9019000000000004</v>
      </c>
      <c r="N17" s="18">
        <v>5.8170000000000002</v>
      </c>
      <c r="O17" s="21">
        <f t="shared" si="0"/>
        <v>0.99222633703666629</v>
      </c>
      <c r="P17" s="9">
        <f>N17/M17</f>
        <v>0.98561480201291107</v>
      </c>
    </row>
    <row r="18" spans="10:16" ht="15" thickBot="1" x14ac:dyDescent="0.35">
      <c r="J18" s="24" t="s">
        <v>11</v>
      </c>
      <c r="K18" s="15">
        <v>9344</v>
      </c>
      <c r="L18" s="16">
        <v>9111</v>
      </c>
      <c r="M18" s="15">
        <v>5.9019000000000004</v>
      </c>
      <c r="N18" s="16">
        <v>5.8170999999999999</v>
      </c>
      <c r="O18" s="20">
        <f t="shared" si="0"/>
        <v>0.97506421232876717</v>
      </c>
      <c r="P18" s="11">
        <f>N18/M18</f>
        <v>0.98563174570900891</v>
      </c>
    </row>
    <row r="19" spans="10:16" x14ac:dyDescent="0.3">
      <c r="J19" s="22" t="s">
        <v>12</v>
      </c>
      <c r="K19" s="17">
        <v>481</v>
      </c>
      <c r="L19" s="18">
        <v>246</v>
      </c>
      <c r="M19" s="17">
        <v>5.9019000000000004</v>
      </c>
      <c r="N19" s="18">
        <v>5.8194999999999997</v>
      </c>
      <c r="O19" s="21">
        <f t="shared" si="0"/>
        <v>0.51143451143451146</v>
      </c>
      <c r="P19" s="9">
        <f>N19/M19</f>
        <v>0.98603839441535768</v>
      </c>
    </row>
    <row r="20" spans="10:16" ht="15" thickBot="1" x14ac:dyDescent="0.35">
      <c r="J20" s="24" t="s">
        <v>13</v>
      </c>
      <c r="K20" s="15">
        <v>490</v>
      </c>
      <c r="L20" s="16">
        <v>255</v>
      </c>
      <c r="M20" s="15">
        <v>5.9019000000000004</v>
      </c>
      <c r="N20" s="16">
        <v>5.8194999999999997</v>
      </c>
      <c r="O20" s="20">
        <f t="shared" si="0"/>
        <v>0.52040816326530615</v>
      </c>
      <c r="P20" s="11">
        <f>N20/M20</f>
        <v>0.98603839441535768</v>
      </c>
    </row>
    <row r="21" spans="10:16" x14ac:dyDescent="0.3">
      <c r="J21" s="22" t="s">
        <v>14</v>
      </c>
      <c r="K21" s="17">
        <v>475.6</v>
      </c>
      <c r="L21" s="18">
        <v>240.6</v>
      </c>
      <c r="M21" s="17">
        <v>5.9019000000000004</v>
      </c>
      <c r="N21" s="18">
        <v>5.8194999999999997</v>
      </c>
      <c r="O21" s="21">
        <f t="shared" si="0"/>
        <v>0.50588730025231288</v>
      </c>
      <c r="P21" s="9">
        <f>N21/M21</f>
        <v>0.98603839441535768</v>
      </c>
    </row>
    <row r="22" spans="10:16" ht="15" thickBot="1" x14ac:dyDescent="0.35">
      <c r="J22" s="24" t="s">
        <v>15</v>
      </c>
      <c r="K22" s="15">
        <v>469.8</v>
      </c>
      <c r="L22" s="16">
        <v>234.8</v>
      </c>
      <c r="M22" s="15">
        <v>5.9019000000000004</v>
      </c>
      <c r="N22" s="16">
        <v>5.8194999999999997</v>
      </c>
      <c r="O22" s="20">
        <f t="shared" si="0"/>
        <v>0.4997871434653044</v>
      </c>
      <c r="P22" s="11">
        <f>N22/M22</f>
        <v>0.98603839441535768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רינה</dc:creator>
  <cp:lastModifiedBy>MAIBENBEN</cp:lastModifiedBy>
  <dcterms:created xsi:type="dcterms:W3CDTF">2026-02-11T19:56:16Z</dcterms:created>
  <dcterms:modified xsi:type="dcterms:W3CDTF">2026-02-13T12:20:21Z</dcterms:modified>
</cp:coreProperties>
</file>